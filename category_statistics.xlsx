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e chart" sheetId="2" r:id="rId6"/>
  </sheets>
  <definedNames/>
  <calcPr/>
</workbook>
</file>

<file path=xl/sharedStrings.xml><?xml version="1.0" encoding="utf-8"?>
<sst xmlns="http://schemas.openxmlformats.org/spreadsheetml/2006/main" count="68" uniqueCount="60">
  <si>
    <t xml:space="preserve">1. Attraction and Entertainment </t>
  </si>
  <si>
    <t>Stars</t>
  </si>
  <si>
    <t xml:space="preserve">Frequencies </t>
  </si>
  <si>
    <t>Descriptive analysis results</t>
  </si>
  <si>
    <t>ride</t>
  </si>
  <si>
    <t>Variables</t>
  </si>
  <si>
    <t>mean</t>
  </si>
  <si>
    <t>median</t>
  </si>
  <si>
    <t>Std.dev</t>
  </si>
  <si>
    <t>min</t>
  </si>
  <si>
    <t>max</t>
  </si>
  <si>
    <t>swing</t>
  </si>
  <si>
    <t xml:space="preserve">Attraction and Entertainment </t>
  </si>
  <si>
    <t>attraction</t>
  </si>
  <si>
    <t>Family and kids</t>
  </si>
  <si>
    <t>train</t>
  </si>
  <si>
    <t>Pricing and discounts</t>
  </si>
  <si>
    <t>parade</t>
  </si>
  <si>
    <t>Facilities and services</t>
  </si>
  <si>
    <t>theme</t>
  </si>
  <si>
    <t>Time and Visitation</t>
  </si>
  <si>
    <t>performance</t>
  </si>
  <si>
    <t xml:space="preserve">Overall customer satisfaction </t>
  </si>
  <si>
    <t>play</t>
  </si>
  <si>
    <t>The table includes descriptive statistics for 5 categories. Customer satisfaction, which ranged from 1 to 5, had an average rating of 3.78. This suggests that most of the visitors had a satisfactory experience during their visit to Lotte World Adventure in Busan.</t>
  </si>
  <si>
    <t>roller</t>
  </si>
  <si>
    <t>2. Family and Kids:</t>
  </si>
  <si>
    <t>family</t>
  </si>
  <si>
    <t>kid</t>
  </si>
  <si>
    <t>baby</t>
  </si>
  <si>
    <t>school</t>
  </si>
  <si>
    <t>student</t>
  </si>
  <si>
    <t>adult</t>
  </si>
  <si>
    <t>people</t>
  </si>
  <si>
    <t>3. Pricing and Discounts:</t>
  </si>
  <si>
    <t>discount</t>
  </si>
  <si>
    <t>card</t>
  </si>
  <si>
    <t>price</t>
  </si>
  <si>
    <t>money</t>
  </si>
  <si>
    <t>fee</t>
  </si>
  <si>
    <t>4. Facilities and Services:</t>
  </si>
  <si>
    <t>area</t>
  </si>
  <si>
    <t>parking</t>
  </si>
  <si>
    <t>staff</t>
  </si>
  <si>
    <t>rest</t>
  </si>
  <si>
    <t>raincoat</t>
  </si>
  <si>
    <t>size</t>
  </si>
  <si>
    <t>facility</t>
  </si>
  <si>
    <t>equipment</t>
  </si>
  <si>
    <t>5. Time and Visitation:</t>
  </si>
  <si>
    <t>time</t>
  </si>
  <si>
    <t>minute</t>
  </si>
  <si>
    <t>day</t>
  </si>
  <si>
    <t>hour</t>
  </si>
  <si>
    <t>pm</t>
  </si>
  <si>
    <t>weekday</t>
  </si>
  <si>
    <t>weekend</t>
  </si>
  <si>
    <t>afternoon</t>
  </si>
  <si>
    <t>morning</t>
  </si>
  <si>
    <t>visit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</si>
</sst>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374151"/>
      <name val="Comfortaa"/>
    </font>
    <font>
      <color theme="1"/>
      <name val="Comfortaa"/>
    </font>
    <font>
      <b/>
      <color theme="1"/>
      <name val="Comfortaa"/>
    </font>
    <font>
      <b/>
      <sz val="12.0"/>
      <color rgb="FFFFFFFF"/>
      <name val="Comfortaa"/>
    </font>
    <font/>
    <font>
      <b/>
      <sz val="12.0"/>
      <color rgb="FF374151"/>
      <name val="Comfortaa"/>
    </font>
    <font>
      <color theme="1"/>
      <name val="Lexend"/>
    </font>
    <font>
      <b/>
      <color theme="1"/>
      <name val="Arial"/>
      <scheme val="minor"/>
    </font>
    <font>
      <sz val="10.0"/>
      <color rgb="FF000000"/>
      <name val="Comfortaa"/>
    </font>
    <font>
      <b/>
      <color theme="1"/>
      <name val="Lexend"/>
    </font>
    <font>
      <b/>
      <color rgb="FFFFFFFF"/>
      <name val="Comfortaa"/>
    </font>
    <font>
      <sz val="12.0"/>
      <color rgb="FF374151"/>
      <name val="Comfortaa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Font="1"/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readingOrder="0" vertical="bottom"/>
    </xf>
    <xf borderId="1" fillId="2" fontId="3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2" fillId="3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horizontal="right" vertical="bottom"/>
    </xf>
    <xf borderId="1" fillId="4" fontId="7" numFmtId="0" xfId="0" applyAlignment="1" applyBorder="1" applyFill="1" applyFont="1">
      <alignment readingOrder="0"/>
    </xf>
    <xf borderId="1" fillId="2" fontId="8" numFmtId="0" xfId="0" applyAlignment="1" applyBorder="1" applyFill="1" applyFont="1">
      <alignment readingOrder="0"/>
    </xf>
    <xf borderId="2" fillId="2" fontId="3" numFmtId="0" xfId="0" applyAlignment="1" applyBorder="1" applyFill="1" applyFont="1">
      <alignment readingOrder="0"/>
    </xf>
    <xf borderId="3" fillId="2" fontId="3" numFmtId="0" xfId="0" applyAlignment="1" applyBorder="1" applyFill="1" applyFont="1">
      <alignment readingOrder="0"/>
    </xf>
    <xf borderId="4" fillId="2" fontId="3" numFmtId="0" xfId="0" applyAlignment="1" applyBorder="1" applyFill="1" applyFont="1">
      <alignment readingOrder="0"/>
    </xf>
    <xf borderId="5" fillId="2" fontId="9" numFmtId="0" xfId="0" applyAlignment="1" applyBorder="1" applyFill="1" applyFont="1">
      <alignment readingOrder="0" shrinkToFit="0" vertical="bottom" wrapText="1"/>
    </xf>
    <xf borderId="0" fillId="4" fontId="7" numFmtId="2" xfId="0" applyFill="1" applyFont="1" applyNumberFormat="1"/>
    <xf borderId="0" fillId="4" fontId="7" numFmtId="0" xfId="0" applyFill="1" applyFont="1"/>
    <xf borderId="6" fillId="4" fontId="7" numFmtId="0" xfId="0" applyBorder="1" applyFill="1" applyFont="1"/>
    <xf borderId="5" fillId="2" fontId="2" numFmtId="0" xfId="0" applyAlignment="1" applyBorder="1" applyFill="1" applyFont="1">
      <alignment readingOrder="0"/>
    </xf>
    <xf borderId="0" fillId="4" fontId="7" numFmtId="2" xfId="0" applyAlignment="1" applyFill="1" applyFont="1" applyNumberFormat="1">
      <alignment readingOrder="0"/>
    </xf>
    <xf borderId="7" fillId="2" fontId="3" numFmtId="0" xfId="0" applyAlignment="1" applyBorder="1" applyFill="1" applyFont="1">
      <alignment readingOrder="0" shrinkToFit="0" wrapText="1"/>
    </xf>
    <xf borderId="8" fillId="4" fontId="10" numFmtId="2" xfId="0" applyBorder="1" applyFill="1" applyFont="1" applyNumberFormat="1"/>
    <xf borderId="8" fillId="4" fontId="10" numFmtId="2" xfId="0" applyAlignment="1" applyBorder="1" applyFill="1" applyFont="1" applyNumberFormat="1">
      <alignment readingOrder="0"/>
    </xf>
    <xf borderId="8" fillId="4" fontId="10" numFmtId="0" xfId="0" applyBorder="1" applyFill="1" applyFont="1"/>
    <xf borderId="9" fillId="4" fontId="10" numFmtId="0" xfId="0" applyAlignment="1" applyBorder="1" applyFill="1" applyFont="1">
      <alignment readingOrder="0"/>
    </xf>
    <xf borderId="10" fillId="3" fontId="11" numFmtId="0" xfId="0" applyAlignment="1" applyBorder="1" applyFill="1" applyFont="1">
      <alignment readingOrder="0" shrinkToFit="0" vertical="center" wrapText="1"/>
    </xf>
    <xf borderId="6" fillId="0" fontId="5" numFmtId="0" xfId="0" applyBorder="1" applyFont="1"/>
    <xf borderId="10" fillId="0" fontId="5" numFmtId="0" xfId="0" applyBorder="1" applyFont="1"/>
    <xf borderId="0" fillId="0" fontId="12" numFmtId="0" xfId="0" applyAlignment="1" applyFont="1">
      <alignment vertical="bottom"/>
    </xf>
    <xf borderId="11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89554012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5" max="5" width="22.0"/>
    <col customWidth="1" min="6" max="6" width="17.13"/>
    <col customWidth="1" min="7" max="8" width="17.88"/>
    <col customWidth="1" min="9" max="9" width="19.88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.0" customHeight="1">
      <c r="A2" s="4"/>
      <c r="B2" s="5" t="s">
        <v>1</v>
      </c>
      <c r="C2" s="6" t="s">
        <v>2</v>
      </c>
      <c r="D2" s="7"/>
      <c r="E2" s="8" t="s">
        <v>3</v>
      </c>
      <c r="F2" s="9"/>
      <c r="G2" s="9"/>
      <c r="H2" s="9"/>
      <c r="I2" s="9"/>
      <c r="J2" s="1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1" t="s">
        <v>4</v>
      </c>
      <c r="B3" s="12">
        <v>5.0</v>
      </c>
      <c r="C3" s="13">
        <v>305.0</v>
      </c>
      <c r="D3" s="3"/>
      <c r="E3" s="14" t="s">
        <v>5</v>
      </c>
      <c r="F3" s="15" t="s">
        <v>6</v>
      </c>
      <c r="G3" s="16" t="s">
        <v>7</v>
      </c>
      <c r="H3" s="16" t="s">
        <v>8</v>
      </c>
      <c r="I3" s="16" t="s">
        <v>9</v>
      </c>
      <c r="J3" s="17" t="s">
        <v>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11" t="s">
        <v>11</v>
      </c>
      <c r="B4" s="12">
        <v>5.0</v>
      </c>
      <c r="C4" s="13">
        <v>33.0</v>
      </c>
      <c r="D4" s="3"/>
      <c r="E4" s="18" t="s">
        <v>12</v>
      </c>
      <c r="F4" s="19">
        <f>AVERAGE(B3:B11)</f>
        <v>3.666666667</v>
      </c>
      <c r="G4" s="20">
        <v>4.0</v>
      </c>
      <c r="H4" s="19">
        <f>STDEV(B3:B11)</f>
        <v>1.145643924</v>
      </c>
      <c r="I4" s="20">
        <f>MIN(B3:B11)</f>
        <v>2</v>
      </c>
      <c r="J4" s="21">
        <f>MAX(B3:B11)</f>
        <v>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1" t="s">
        <v>13</v>
      </c>
      <c r="B5" s="12">
        <v>3.0</v>
      </c>
      <c r="C5" s="13">
        <v>64.0</v>
      </c>
      <c r="D5" s="3"/>
      <c r="E5" s="22" t="s">
        <v>14</v>
      </c>
      <c r="F5" s="19">
        <f>AVERAGE(B16:B22)</f>
        <v>4</v>
      </c>
      <c r="G5" s="20">
        <v>4.0</v>
      </c>
      <c r="H5" s="19">
        <f>STDEV(B16:B22)</f>
        <v>1.040833</v>
      </c>
      <c r="I5" s="20">
        <f>MIN(B16:B22)</f>
        <v>2.5</v>
      </c>
      <c r="J5" s="21">
        <f>MAX(B16:B22)</f>
        <v>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1" t="s">
        <v>15</v>
      </c>
      <c r="B6" s="12">
        <v>2.0</v>
      </c>
      <c r="C6" s="13">
        <v>16.0</v>
      </c>
      <c r="D6" s="3"/>
      <c r="E6" s="22" t="s">
        <v>16</v>
      </c>
      <c r="F6" s="23">
        <f>AVERAGE(B26:B30)</f>
        <v>1.8</v>
      </c>
      <c r="G6" s="20">
        <v>2.0</v>
      </c>
      <c r="H6" s="19">
        <f>STDEV(B26:B30)</f>
        <v>0.8366600265</v>
      </c>
      <c r="I6" s="20">
        <f>MIN(B26:B30)</f>
        <v>1</v>
      </c>
      <c r="J6" s="21">
        <f>MAX(B26:B30)</f>
        <v>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11" t="s">
        <v>17</v>
      </c>
      <c r="B7" s="12">
        <v>4.5</v>
      </c>
      <c r="C7" s="13">
        <v>112.0</v>
      </c>
      <c r="D7" s="3"/>
      <c r="E7" s="22" t="s">
        <v>18</v>
      </c>
      <c r="F7" s="19">
        <f>AVERAGE(B34:B41)</f>
        <v>3.0625</v>
      </c>
      <c r="G7" s="20">
        <v>3.25</v>
      </c>
      <c r="H7" s="19">
        <f>STDEV(B34:B41)</f>
        <v>1.374188072</v>
      </c>
      <c r="I7" s="20">
        <f>MIN(B34:B41)</f>
        <v>1</v>
      </c>
      <c r="J7" s="21">
        <f>MAX(B34:B41)</f>
        <v>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1" t="s">
        <v>19</v>
      </c>
      <c r="B8" s="12">
        <v>2.0</v>
      </c>
      <c r="C8" s="13">
        <v>15.0</v>
      </c>
      <c r="D8" s="3"/>
      <c r="E8" s="22" t="s">
        <v>20</v>
      </c>
      <c r="F8" s="19">
        <f>AVERAGE(B45:B54)</f>
        <v>3.1</v>
      </c>
      <c r="G8" s="20">
        <v>3.25</v>
      </c>
      <c r="H8" s="19">
        <f>STDEV(B45:B54)</f>
        <v>1.486980535</v>
      </c>
      <c r="I8" s="20">
        <f>MIN(B45:B54)</f>
        <v>1</v>
      </c>
      <c r="J8" s="21">
        <f>MAX(B45:B54)</f>
        <v>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1" t="s">
        <v>21</v>
      </c>
      <c r="B9" s="12">
        <v>4.0</v>
      </c>
      <c r="C9" s="13">
        <v>27.0</v>
      </c>
      <c r="D9" s="3"/>
      <c r="E9" s="24" t="s">
        <v>22</v>
      </c>
      <c r="F9" s="25">
        <f>3.78</f>
        <v>3.78</v>
      </c>
      <c r="G9" s="26">
        <v>4.0</v>
      </c>
      <c r="H9" s="26">
        <v>1.29</v>
      </c>
      <c r="I9" s="27">
        <f>1</f>
        <v>1</v>
      </c>
      <c r="J9" s="28">
        <v>5.0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1" t="s">
        <v>23</v>
      </c>
      <c r="B10" s="12">
        <v>3.5</v>
      </c>
      <c r="C10" s="13">
        <v>27.0</v>
      </c>
      <c r="D10" s="3"/>
      <c r="E10" s="29" t="s">
        <v>24</v>
      </c>
      <c r="J10" s="3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1" t="s">
        <v>25</v>
      </c>
      <c r="B11" s="12">
        <v>4.0</v>
      </c>
      <c r="C11" s="13">
        <v>28.0</v>
      </c>
      <c r="D11" s="3"/>
      <c r="E11" s="31"/>
      <c r="J11" s="3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2"/>
      <c r="B12" s="2"/>
      <c r="C12" s="3"/>
      <c r="D12" s="3"/>
      <c r="E12" s="31"/>
      <c r="J12" s="3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2"/>
      <c r="B13" s="2"/>
      <c r="C13" s="3"/>
      <c r="D13" s="3"/>
      <c r="E13" s="33"/>
      <c r="F13" s="34"/>
      <c r="G13" s="34"/>
      <c r="H13" s="34"/>
      <c r="I13" s="34"/>
      <c r="J13" s="3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6" t="s">
        <v>26</v>
      </c>
      <c r="B14" s="37"/>
      <c r="C14" s="3"/>
      <c r="D14" s="3"/>
      <c r="E14" s="38"/>
      <c r="F14" s="3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/>
      <c r="B15" s="5" t="s">
        <v>1</v>
      </c>
      <c r="C15" s="6" t="s">
        <v>2</v>
      </c>
      <c r="D15" s="7"/>
      <c r="E15" s="38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1" t="s">
        <v>27</v>
      </c>
      <c r="B16" s="12">
        <v>5.0</v>
      </c>
      <c r="C16" s="13">
        <v>38.0</v>
      </c>
      <c r="D16" s="3"/>
      <c r="E16" s="38"/>
      <c r="F16" s="3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1" t="s">
        <v>28</v>
      </c>
      <c r="B17" s="12">
        <v>3.0</v>
      </c>
      <c r="C17" s="13">
        <v>40.0</v>
      </c>
      <c r="D17" s="3"/>
      <c r="E17" s="7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1" t="s">
        <v>29</v>
      </c>
      <c r="B18" s="12">
        <v>5.0</v>
      </c>
      <c r="C18" s="13">
        <v>18.0</v>
      </c>
      <c r="D18" s="3"/>
      <c r="E18" s="39"/>
      <c r="F18" s="39"/>
      <c r="G18" s="39"/>
      <c r="H18" s="39"/>
      <c r="I18" s="3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1" t="s">
        <v>30</v>
      </c>
      <c r="B19" s="12">
        <v>3.5</v>
      </c>
      <c r="C19" s="13">
        <v>41.0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1" t="s">
        <v>31</v>
      </c>
      <c r="B20" s="12">
        <v>5.0</v>
      </c>
      <c r="C20" s="13">
        <v>21.0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1" t="s">
        <v>32</v>
      </c>
      <c r="B21" s="12">
        <v>2.5</v>
      </c>
      <c r="C21" s="13">
        <v>79.0</v>
      </c>
      <c r="D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1" t="s">
        <v>33</v>
      </c>
      <c r="B22" s="12">
        <v>4.0</v>
      </c>
      <c r="C22" s="13">
        <v>119.0</v>
      </c>
      <c r="D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"/>
      <c r="B23" s="2"/>
      <c r="C23" s="3"/>
      <c r="D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6" t="s">
        <v>34</v>
      </c>
      <c r="B24" s="37"/>
      <c r="C24" s="3"/>
      <c r="D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/>
      <c r="B25" s="5" t="s">
        <v>1</v>
      </c>
      <c r="C25" s="6" t="s">
        <v>2</v>
      </c>
      <c r="D25" s="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1" t="s">
        <v>35</v>
      </c>
      <c r="B26" s="12">
        <v>2.0</v>
      </c>
      <c r="C26" s="13">
        <v>42.0</v>
      </c>
      <c r="D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1" t="s">
        <v>36</v>
      </c>
      <c r="B27" s="12">
        <v>1.0</v>
      </c>
      <c r="C27" s="13">
        <v>20.0</v>
      </c>
      <c r="D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1" t="s">
        <v>37</v>
      </c>
      <c r="B28" s="12">
        <v>3.0</v>
      </c>
      <c r="C28" s="13">
        <v>36.0</v>
      </c>
      <c r="D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1" t="s">
        <v>38</v>
      </c>
      <c r="B29" s="12">
        <v>2.0</v>
      </c>
      <c r="C29" s="13">
        <v>15.0</v>
      </c>
      <c r="D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1" t="s">
        <v>39</v>
      </c>
      <c r="B30" s="12">
        <v>1.0</v>
      </c>
      <c r="C30" s="13">
        <v>28.0</v>
      </c>
      <c r="D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2"/>
      <c r="B31" s="2"/>
      <c r="C31" s="3"/>
      <c r="D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6" t="s">
        <v>40</v>
      </c>
      <c r="B32" s="2"/>
      <c r="C32" s="3"/>
      <c r="D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4"/>
      <c r="B33" s="5" t="s">
        <v>1</v>
      </c>
      <c r="C33" s="6" t="s">
        <v>2</v>
      </c>
      <c r="D33" s="7"/>
      <c r="E33" s="7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1" t="s">
        <v>41</v>
      </c>
      <c r="B34" s="12">
        <v>4.0</v>
      </c>
      <c r="C34" s="13">
        <v>20.0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1" t="s">
        <v>42</v>
      </c>
      <c r="B35" s="12">
        <v>2.0</v>
      </c>
      <c r="C35" s="13">
        <v>64.0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11" t="s">
        <v>43</v>
      </c>
      <c r="B36" s="12">
        <v>1.0</v>
      </c>
      <c r="C36" s="13">
        <v>23.0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1" t="s">
        <v>44</v>
      </c>
      <c r="B37" s="12">
        <v>2.0</v>
      </c>
      <c r="C37" s="13">
        <v>15.0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1" t="s">
        <v>45</v>
      </c>
      <c r="B38" s="12">
        <v>5.0</v>
      </c>
      <c r="C38" s="13">
        <v>28.0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1" t="s">
        <v>46</v>
      </c>
      <c r="B39" s="12">
        <v>4.0</v>
      </c>
      <c r="C39" s="13">
        <v>27.0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1" t="s">
        <v>47</v>
      </c>
      <c r="B40" s="12">
        <v>2.5</v>
      </c>
      <c r="C40" s="13">
        <v>97.0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1" t="s">
        <v>48</v>
      </c>
      <c r="B41" s="12">
        <v>4.0</v>
      </c>
      <c r="C41" s="13">
        <v>17.0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6" t="s">
        <v>49</v>
      </c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4"/>
      <c r="B44" s="5" t="s">
        <v>1</v>
      </c>
      <c r="C44" s="6" t="s">
        <v>2</v>
      </c>
      <c r="D44" s="7"/>
      <c r="E44" s="7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1" t="s">
        <v>50</v>
      </c>
      <c r="B45" s="12">
        <v>1.0</v>
      </c>
      <c r="C45" s="13">
        <v>157.0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11" t="s">
        <v>51</v>
      </c>
      <c r="B46" s="12">
        <v>5.0</v>
      </c>
      <c r="C46" s="13">
        <v>67.0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1" t="s">
        <v>52</v>
      </c>
      <c r="B47" s="12">
        <v>1.0</v>
      </c>
      <c r="C47" s="13">
        <v>73.0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1" t="s">
        <v>53</v>
      </c>
      <c r="B48" s="12">
        <v>1.5</v>
      </c>
      <c r="C48" s="13">
        <v>84.0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1" t="s">
        <v>54</v>
      </c>
      <c r="B49" s="12">
        <v>3.0</v>
      </c>
      <c r="C49" s="13">
        <v>19.0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11" t="s">
        <v>55</v>
      </c>
      <c r="B50" s="12">
        <v>4.0</v>
      </c>
      <c r="C50" s="13">
        <v>76.0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1" t="s">
        <v>56</v>
      </c>
      <c r="B51" s="12">
        <v>4.5</v>
      </c>
      <c r="C51" s="13">
        <v>27.0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11" t="s">
        <v>57</v>
      </c>
      <c r="B52" s="12">
        <v>3.5</v>
      </c>
      <c r="C52" s="13">
        <v>39.0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1" t="s">
        <v>58</v>
      </c>
      <c r="B53" s="12">
        <v>4.5</v>
      </c>
      <c r="C53" s="13">
        <v>19.0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1" t="s">
        <v>59</v>
      </c>
      <c r="B54" s="12">
        <v>3.0</v>
      </c>
      <c r="C54" s="13">
        <v>16.0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</sheetData>
  <mergeCells count="2">
    <mergeCell ref="E2:J2"/>
    <mergeCell ref="E10:J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